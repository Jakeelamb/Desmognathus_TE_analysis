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ist of 38 Desmognathus species" sheetId="2" r:id="rId6"/>
    <sheet state="visible" name="dnaPipeTE results" sheetId="3" r:id="rId7"/>
    <sheet state="visible" name="Links" sheetId="4" r:id="rId8"/>
  </sheets>
  <definedNames/>
  <calcPr/>
</workbook>
</file>

<file path=xl/sharedStrings.xml><?xml version="1.0" encoding="utf-8"?>
<sst xmlns="http://schemas.openxmlformats.org/spreadsheetml/2006/main" count="553" uniqueCount="212">
  <si>
    <t>Link</t>
  </si>
  <si>
    <t>Species</t>
  </si>
  <si>
    <t xml:space="preserve"> </t>
  </si>
  <si>
    <t>family</t>
  </si>
  <si>
    <t>GenBank assembly accession</t>
  </si>
  <si>
    <t>SRA Acession</t>
  </si>
  <si>
    <t>Contig N50 (kb)</t>
  </si>
  <si>
    <t>Scaffold N50 (kb)</t>
  </si>
  <si>
    <t>Genome Accession</t>
  </si>
  <si>
    <t>Scaffolds count</t>
  </si>
  <si>
    <t>GC percent</t>
  </si>
  <si>
    <t>dnaPipeTE</t>
  </si>
  <si>
    <t>Genome Sequence size from NCBI</t>
  </si>
  <si>
    <t>Contig N51</t>
  </si>
  <si>
    <t>C-value</t>
  </si>
  <si>
    <t>TE_curate_alpine</t>
  </si>
  <si>
    <t>dnaPipeTE combinedfasta</t>
  </si>
  <si>
    <t>all lib</t>
  </si>
  <si>
    <t>D.abditus</t>
  </si>
  <si>
    <t>TE_curate</t>
  </si>
  <si>
    <t>phylogeny</t>
  </si>
  <si>
    <t>Desmognathus</t>
  </si>
  <si>
    <t>SRX19952928</t>
  </si>
  <si>
    <t>https://pubmed.ncbi.nlm.nih.gov/35222955/</t>
  </si>
  <si>
    <t>RepeatModeler</t>
  </si>
  <si>
    <t>D.adatsihi</t>
  </si>
  <si>
    <t>GCA_030264635.1</t>
  </si>
  <si>
    <t>D.aeneus</t>
  </si>
  <si>
    <t>SRA</t>
  </si>
  <si>
    <t>value to left is the result of grep -c "^&gt;" Trinity.fasta</t>
  </si>
  <si>
    <t>D.amphileucus</t>
  </si>
  <si>
    <t>https://www.ncbi.nlm.nih.gov/sra</t>
  </si>
  <si>
    <t>SRX20502416</t>
  </si>
  <si>
    <t>NCBI</t>
  </si>
  <si>
    <t>D.anicetus</t>
  </si>
  <si>
    <t>https://www.ncbi.nlm.nih.gov/datasets/genome/?taxon=43045</t>
  </si>
  <si>
    <t>SRX19953415</t>
  </si>
  <si>
    <t>Axolotl</t>
  </si>
  <si>
    <t>GCA_030264955.1</t>
  </si>
  <si>
    <t>Animal Genome DB</t>
  </si>
  <si>
    <t>https://www.genomesize.com/results.php?page=1</t>
  </si>
  <si>
    <t>SRX20502537</t>
  </si>
  <si>
    <t>GCA_002915635.3</t>
  </si>
  <si>
    <t>D.apalachicolae</t>
  </si>
  <si>
    <t>28.2 Gb</t>
  </si>
  <si>
    <t>SRX21425396</t>
  </si>
  <si>
    <t xml:space="preserve">218 kb
</t>
  </si>
  <si>
    <t>D.aureatus</t>
  </si>
  <si>
    <t>SRX19952657</t>
  </si>
  <si>
    <t>GCA_030264895.1</t>
  </si>
  <si>
    <t>SRX20502577</t>
  </si>
  <si>
    <t>Chrom_1</t>
  </si>
  <si>
    <t>D.auriculatus</t>
  </si>
  <si>
    <t>SRX19953419</t>
  </si>
  <si>
    <t>D.bairdii</t>
  </si>
  <si>
    <t>SRX21425397</t>
  </si>
  <si>
    <t>D.balsameus</t>
  </si>
  <si>
    <t>Good</t>
  </si>
  <si>
    <t>SRX20502826</t>
  </si>
  <si>
    <t>D.campi</t>
  </si>
  <si>
    <t>SRX21425398</t>
  </si>
  <si>
    <t>D.carolinensis</t>
  </si>
  <si>
    <t>SRX19952691</t>
  </si>
  <si>
    <t>D.catahoula</t>
  </si>
  <si>
    <t>SRX21425399</t>
  </si>
  <si>
    <t>D.cheaha</t>
  </si>
  <si>
    <t>SRX20502857</t>
  </si>
  <si>
    <t>D.conanti</t>
  </si>
  <si>
    <t>SRX19953420</t>
  </si>
  <si>
    <t>D.folkertsi</t>
  </si>
  <si>
    <t>SRX19952891</t>
  </si>
  <si>
    <t>D.fuscus</t>
  </si>
  <si>
    <t>SRX19953421</t>
  </si>
  <si>
    <t>GCA_030264455.1</t>
  </si>
  <si>
    <t>D.gvingeusgwotli</t>
  </si>
  <si>
    <t>SRX20502827</t>
  </si>
  <si>
    <t>GCA_030264475.1</t>
  </si>
  <si>
    <t>D.imitator</t>
  </si>
  <si>
    <t>done</t>
  </si>
  <si>
    <t>SRX19953983</t>
  </si>
  <si>
    <t>824 bp</t>
  </si>
  <si>
    <t>D.intermedius</t>
  </si>
  <si>
    <t>running</t>
  </si>
  <si>
    <t>SRX20502776</t>
  </si>
  <si>
    <t>GCA_030265015.1</t>
  </si>
  <si>
    <t>D.knawha</t>
  </si>
  <si>
    <t>SRX20502939</t>
  </si>
  <si>
    <t>D.lycos</t>
  </si>
  <si>
    <t>GCA_030265095.1</t>
  </si>
  <si>
    <t>SRX21425400</t>
  </si>
  <si>
    <t>y</t>
  </si>
  <si>
    <t>D.marmoratus</t>
  </si>
  <si>
    <t>SRX19954879</t>
  </si>
  <si>
    <t>D.mavrokoilius</t>
  </si>
  <si>
    <t>SRX20503049</t>
  </si>
  <si>
    <t>D.monticola</t>
  </si>
  <si>
    <t>GCA_030264435.1</t>
  </si>
  <si>
    <t>SRX19955091</t>
  </si>
  <si>
    <t>GCA_032275005.1</t>
  </si>
  <si>
    <t>D.ochrophaeus</t>
  </si>
  <si>
    <t>SRX19958874</t>
  </si>
  <si>
    <t>D.ocoee</t>
  </si>
  <si>
    <t>SRX19952863</t>
  </si>
  <si>
    <t>D.orestes</t>
  </si>
  <si>
    <t>SRX19952890</t>
  </si>
  <si>
    <t>submitted</t>
  </si>
  <si>
    <t>D.kanawha</t>
  </si>
  <si>
    <t>D.organi</t>
  </si>
  <si>
    <t>SRX19952929</t>
  </si>
  <si>
    <t>D.pascagoula</t>
  </si>
  <si>
    <t>SRX19953381</t>
  </si>
  <si>
    <t>D.perlapsus</t>
  </si>
  <si>
    <t>SRX20503048</t>
  </si>
  <si>
    <t>D.planiceps</t>
  </si>
  <si>
    <t>SRX20497025</t>
  </si>
  <si>
    <t>D.santeetlah</t>
  </si>
  <si>
    <t>SRX19955089</t>
  </si>
  <si>
    <t>D.tilleyi</t>
  </si>
  <si>
    <t>SRX21394251</t>
  </si>
  <si>
    <t>GCA_030264935.1</t>
  </si>
  <si>
    <t>D.valentinei</t>
  </si>
  <si>
    <t>SRX19953382</t>
  </si>
  <si>
    <t>D.valtos</t>
  </si>
  <si>
    <t>SRX20503015</t>
  </si>
  <si>
    <t>858 bp</t>
  </si>
  <si>
    <t>GCA_030264995.1</t>
  </si>
  <si>
    <t>D.welteri</t>
  </si>
  <si>
    <t>SRX19958882</t>
  </si>
  <si>
    <t>D.wrighti</t>
  </si>
  <si>
    <t>SRX19958881</t>
  </si>
  <si>
    <t>GCA_030264915.1</t>
  </si>
  <si>
    <t>Pleurodeles waltl</t>
  </si>
  <si>
    <t>GCA_030180145.1</t>
  </si>
  <si>
    <t>GCA_032360725.1</t>
  </si>
  <si>
    <t>GCA_030264975.1</t>
  </si>
  <si>
    <t>did not finish on ovis</t>
  </si>
  <si>
    <t>GCA_033119125.1</t>
  </si>
  <si>
    <t>GCA_030264875.1</t>
  </si>
  <si>
    <t>GCA_030264495.1</t>
  </si>
  <si>
    <t>GCA_030265035.1</t>
  </si>
  <si>
    <t>847 bp</t>
  </si>
  <si>
    <t>running -ovis</t>
  </si>
  <si>
    <t>GCA_032274985.1</t>
  </si>
  <si>
    <t>Ambystoma</t>
  </si>
  <si>
    <t xml:space="preserve">810 bp
</t>
  </si>
  <si>
    <t>GCA_034783875.1</t>
  </si>
  <si>
    <t>GCA_032353675.1</t>
  </si>
  <si>
    <t>GCA_033118305.1</t>
  </si>
  <si>
    <t>GCA_031753635.1</t>
  </si>
  <si>
    <t>not complete</t>
  </si>
  <si>
    <t>GCA_034783935.1</t>
  </si>
  <si>
    <t>GCA_032353815.1</t>
  </si>
  <si>
    <t>done-alpine</t>
  </si>
  <si>
    <t>833 bp</t>
  </si>
  <si>
    <t>849 bp</t>
  </si>
  <si>
    <t>15-18</t>
  </si>
  <si>
    <t>GCA_032353775.1</t>
  </si>
  <si>
    <t>829 bp</t>
  </si>
  <si>
    <t>GCA_032275315.1</t>
  </si>
  <si>
    <t>GCA_032353855.1</t>
  </si>
  <si>
    <t>GCA_035049765.1</t>
  </si>
  <si>
    <t>GCA_031753695.1</t>
  </si>
  <si>
    <t>GCA_032354855.1</t>
  </si>
  <si>
    <t>GCA_031753675.1</t>
  </si>
  <si>
    <t xml:space="preserve">818 bp
</t>
  </si>
  <si>
    <t>14-18</t>
  </si>
  <si>
    <t>835 bp</t>
  </si>
  <si>
    <t xml:space="preserve">831 bp
</t>
  </si>
  <si>
    <t>801 bp</t>
  </si>
  <si>
    <t xml:space="preserve">821 bp
</t>
  </si>
  <si>
    <t>GCA_032275285.1</t>
  </si>
  <si>
    <t>GCA_032353935.1</t>
  </si>
  <si>
    <t>GCA_031753655.1</t>
  </si>
  <si>
    <t>GCA_034782015.1</t>
  </si>
  <si>
    <t xml:space="preserve">817 bp
</t>
  </si>
  <si>
    <t>GCA_032357565.1</t>
  </si>
  <si>
    <t>838 bp</t>
  </si>
  <si>
    <t>~14</t>
  </si>
  <si>
    <t>Fuscus_1</t>
  </si>
  <si>
    <t>Fuscus</t>
  </si>
  <si>
    <t>Running Ovis</t>
  </si>
  <si>
    <t xml:space="preserve">        GCA_026652325.1        </t>
  </si>
  <si>
    <t>20.3 Gb</t>
  </si>
  <si>
    <t>45.6 Mb</t>
  </si>
  <si>
    <t>Fuscus_3</t>
  </si>
  <si>
    <t xml:space="preserve">running </t>
  </si>
  <si>
    <t>Submitted to Alpine</t>
  </si>
  <si>
    <t>Fuscus_4</t>
  </si>
  <si>
    <t>Fuscus_5</t>
  </si>
  <si>
    <t>Chrom_6</t>
  </si>
  <si>
    <t>Running alpine</t>
  </si>
  <si>
    <t>Chrom_4</t>
  </si>
  <si>
    <t xml:space="preserve">Missing </t>
  </si>
  <si>
    <t>Chrom_5</t>
  </si>
  <si>
    <t>Finishing on Ovis</t>
  </si>
  <si>
    <t>Chrom 2</t>
  </si>
  <si>
    <t>Directory /home/bin/...</t>
  </si>
  <si>
    <t>Size</t>
  </si>
  <si>
    <t>Chrom_2</t>
  </si>
  <si>
    <t>RM_161770.MonMar251236342024</t>
  </si>
  <si>
    <t>Fuscus_6</t>
  </si>
  <si>
    <t>Chrom_3</t>
  </si>
  <si>
    <t>Done</t>
  </si>
  <si>
    <t>Chrom_14</t>
  </si>
  <si>
    <t>Chrom_7</t>
  </si>
  <si>
    <t>Chrom_8</t>
  </si>
  <si>
    <t>Chrom_9</t>
  </si>
  <si>
    <t>Chrom_10</t>
  </si>
  <si>
    <t>Chrom_11</t>
  </si>
  <si>
    <t>Chrom_12</t>
  </si>
  <si>
    <t>Chrom_13</t>
  </si>
  <si>
    <t>Fuscus_2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</si>
</sst>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575757"/>
      <name val="Arial"/>
    </font>
    <font>
      <sz val="11.0"/>
      <color rgb="FF000000"/>
      <name val="Arial"/>
    </font>
    <font>
      <sz val="11.0"/>
      <color rgb="FF000000"/>
      <name val="&quot;Arial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0" fontId="5" numFmtId="0" xfId="0" applyAlignment="1" applyFont="1">
      <alignment readingOrder="0" vertical="bottom"/>
    </xf>
    <xf borderId="0" fillId="0" fontId="1" numFmtId="0" xfId="0" applyFont="1"/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7" numFmtId="0" xfId="0" applyFont="1"/>
    <xf borderId="0" fillId="0" fontId="7" numFmtId="0" xfId="0" applyAlignment="1" applyFont="1">
      <alignment readingOrder="0"/>
    </xf>
    <xf borderId="0" fillId="2" fontId="7" numFmtId="0" xfId="0" applyAlignment="1" applyFill="1" applyFont="1">
      <alignment horizontal="left" readingOrder="0"/>
    </xf>
    <xf borderId="0" fillId="3" fontId="7" numFmtId="0" xfId="0" applyAlignment="1" applyFill="1" applyFont="1">
      <alignment horizontal="left" readingOrder="0" shrinkToFit="0" vertical="top" wrapText="0"/>
    </xf>
    <xf borderId="0" fillId="2" fontId="7" numFmtId="0" xfId="0" applyAlignment="1" applyFill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vertical="bottom"/>
    </xf>
    <xf borderId="0" fillId="4" fontId="7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vertical="top" wrapText="0"/>
    </xf>
    <xf borderId="0" fillId="5" fontId="7" numFmtId="0" xfId="0" applyAlignment="1" applyFill="1" applyFont="1">
      <alignment horizontal="left" readingOrder="0"/>
    </xf>
    <xf borderId="0" fillId="5" fontId="7" numFmtId="0" xfId="0" applyAlignment="1" applyFill="1" applyFont="1">
      <alignment horizontal="left" readingOrder="0" shrinkToFit="0" vertical="top" wrapText="0"/>
    </xf>
    <xf borderId="0" fillId="5" fontId="7" numFmtId="0" xfId="0" applyAlignment="1" applyFill="1" applyFont="1">
      <alignment vertical="bottom"/>
    </xf>
    <xf borderId="0" fillId="5" fontId="7" numFmtId="0" xfId="0" applyAlignment="1" applyFill="1" applyFont="1">
      <alignment readingOrder="0"/>
    </xf>
    <xf borderId="0" fillId="5" fontId="7" numFmtId="0" xfId="0" applyAlignment="1" applyFill="1" applyFont="1">
      <alignment vertical="bottom"/>
    </xf>
    <xf borderId="0" fillId="5" fontId="7" numFmtId="0" xfId="0" applyFill="1" applyFont="1"/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vertical="bottom"/>
    </xf>
    <xf borderId="0" fillId="5" fontId="7" numFmtId="0" xfId="0" applyAlignment="1" applyFill="1" applyFont="1">
      <alignment readingOrder="0" vertical="bottom"/>
    </xf>
    <xf borderId="0" fillId="6" fontId="7" numFmtId="0" xfId="0" applyAlignment="1" applyFill="1" applyFont="1">
      <alignment readingOrder="0"/>
    </xf>
    <xf borderId="0" fillId="7" fontId="7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3" width="27.63"/>
    <col customWidth="1" min="4" max="5" width="22.75"/>
    <col customWidth="1" min="7" max="7" width="28.38"/>
    <col customWidth="1" min="8" max="9" width="28.0"/>
    <col customWidth="1" min="10" max="10" width="17.13"/>
    <col customWidth="1" min="11" max="11" width="21.88"/>
  </cols>
  <sheetData>
    <row r="1">
      <c r="A1" s="1" t="s">
        <v>0</v>
      </c>
      <c r="B1" s="1" t="s">
        <v>2</v>
      </c>
      <c r="C1" s="3" t="s">
        <v>5</v>
      </c>
      <c r="D1" s="3" t="s">
        <v>8</v>
      </c>
      <c r="E1" s="3" t="s">
        <v>8</v>
      </c>
      <c r="F1" s="5" t="s">
        <v>11</v>
      </c>
      <c r="G1" s="3" t="s">
        <v>12</v>
      </c>
      <c r="H1" s="3" t="s">
        <v>13</v>
      </c>
      <c r="I1" s="3" t="s">
        <v>14</v>
      </c>
      <c r="J1" s="8" t="s">
        <v>15</v>
      </c>
      <c r="K1" s="8" t="s">
        <v>19</v>
      </c>
      <c r="L1" s="10"/>
      <c r="M1" s="10"/>
      <c r="N1" s="5" t="s">
        <v>24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16"/>
      <c r="B2" s="17" t="s">
        <v>37</v>
      </c>
      <c r="C2" s="16"/>
      <c r="D2" s="17"/>
      <c r="E2" s="17" t="s">
        <v>42</v>
      </c>
      <c r="F2" s="16"/>
      <c r="G2" s="17" t="s">
        <v>44</v>
      </c>
      <c r="H2" s="17" t="s">
        <v>46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>
      <c r="A3" s="17" t="s">
        <v>51</v>
      </c>
      <c r="B3" s="17" t="s">
        <v>37</v>
      </c>
      <c r="C3" s="17"/>
      <c r="D3" s="17" t="s">
        <v>42</v>
      </c>
      <c r="E3" s="16"/>
      <c r="F3" s="16"/>
      <c r="G3" s="17">
        <v>2.8</v>
      </c>
      <c r="H3" s="16"/>
      <c r="I3" s="17" t="s">
        <v>57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18"/>
      <c r="B4" s="19" t="s">
        <v>18</v>
      </c>
      <c r="C4" s="20" t="s">
        <v>22</v>
      </c>
      <c r="D4" s="21" t="s">
        <v>73</v>
      </c>
      <c r="E4" s="22" t="s">
        <v>73</v>
      </c>
      <c r="F4" s="17" t="s">
        <v>78</v>
      </c>
      <c r="G4" s="22"/>
      <c r="H4" s="22" t="s">
        <v>80</v>
      </c>
      <c r="I4" s="22"/>
      <c r="J4" s="17" t="s">
        <v>82</v>
      </c>
      <c r="K4" s="23" t="s">
        <v>78</v>
      </c>
      <c r="L4" s="16"/>
      <c r="M4" s="16"/>
      <c r="N4" s="17" t="s">
        <v>90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18"/>
      <c r="B5" s="19" t="s">
        <v>25</v>
      </c>
      <c r="C5" s="20" t="s">
        <v>32</v>
      </c>
      <c r="D5" s="24" t="s">
        <v>98</v>
      </c>
      <c r="E5" s="7" t="s">
        <v>98</v>
      </c>
      <c r="F5" s="17" t="s">
        <v>78</v>
      </c>
      <c r="G5" s="22"/>
      <c r="H5" s="22"/>
      <c r="I5" s="22"/>
      <c r="J5" s="17" t="s">
        <v>105</v>
      </c>
      <c r="K5" s="23" t="s">
        <v>78</v>
      </c>
      <c r="L5" s="16"/>
      <c r="M5" s="16"/>
      <c r="N5" s="17" t="s">
        <v>90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25"/>
      <c r="B6" s="26" t="s">
        <v>27</v>
      </c>
      <c r="C6" s="26" t="s">
        <v>36</v>
      </c>
      <c r="D6" s="26" t="s">
        <v>26</v>
      </c>
      <c r="E6" s="27" t="s">
        <v>26</v>
      </c>
      <c r="F6" s="28" t="s">
        <v>78</v>
      </c>
      <c r="G6" s="27"/>
      <c r="H6" s="27" t="s">
        <v>124</v>
      </c>
      <c r="I6" s="29"/>
      <c r="J6" s="28" t="s">
        <v>105</v>
      </c>
      <c r="K6" s="28" t="s">
        <v>78</v>
      </c>
      <c r="L6" s="30"/>
      <c r="M6" s="30"/>
      <c r="N6" s="28" t="s">
        <v>90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18"/>
      <c r="B7" s="19" t="s">
        <v>30</v>
      </c>
      <c r="C7" s="20" t="s">
        <v>41</v>
      </c>
      <c r="D7" s="24" t="s">
        <v>133</v>
      </c>
      <c r="E7" s="7" t="s">
        <v>133</v>
      </c>
      <c r="F7" s="17" t="s">
        <v>78</v>
      </c>
      <c r="G7" s="22"/>
      <c r="H7" s="22"/>
      <c r="I7" s="22"/>
      <c r="J7" s="17" t="s">
        <v>105</v>
      </c>
      <c r="K7" s="23" t="s">
        <v>135</v>
      </c>
      <c r="L7" s="17"/>
      <c r="M7" s="16"/>
      <c r="N7" s="17" t="s">
        <v>90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>
      <c r="A8" s="31"/>
      <c r="B8" s="19" t="s">
        <v>34</v>
      </c>
      <c r="C8" s="21" t="s">
        <v>45</v>
      </c>
      <c r="D8" s="21" t="s">
        <v>136</v>
      </c>
      <c r="E8" s="22"/>
      <c r="F8" s="17" t="s">
        <v>78</v>
      </c>
      <c r="G8" s="22"/>
      <c r="H8" s="22"/>
      <c r="I8" s="22"/>
      <c r="J8" s="16"/>
      <c r="K8" s="17" t="s">
        <v>78</v>
      </c>
      <c r="L8" s="17"/>
      <c r="M8" s="16"/>
      <c r="N8" s="17" t="s">
        <v>90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>
      <c r="A9" s="31"/>
      <c r="B9" s="19" t="s">
        <v>43</v>
      </c>
      <c r="C9" s="21" t="s">
        <v>48</v>
      </c>
      <c r="D9" s="21" t="s">
        <v>38</v>
      </c>
      <c r="E9" s="22" t="s">
        <v>38</v>
      </c>
      <c r="F9" s="32" t="s">
        <v>78</v>
      </c>
      <c r="G9" s="22"/>
      <c r="H9" s="33" t="s">
        <v>140</v>
      </c>
      <c r="I9" s="33"/>
      <c r="J9" s="17" t="s">
        <v>105</v>
      </c>
      <c r="K9" s="17" t="s">
        <v>141</v>
      </c>
      <c r="L9" s="16"/>
      <c r="M9" s="16"/>
      <c r="N9" s="17" t="s">
        <v>90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31"/>
      <c r="B10" s="19" t="s">
        <v>47</v>
      </c>
      <c r="C10" s="21" t="s">
        <v>50</v>
      </c>
      <c r="D10" s="21" t="s">
        <v>142</v>
      </c>
      <c r="E10" s="22"/>
      <c r="F10" s="17" t="s">
        <v>78</v>
      </c>
      <c r="G10" s="22"/>
      <c r="H10" s="22"/>
      <c r="I10" s="22"/>
      <c r="J10" s="17" t="s">
        <v>105</v>
      </c>
      <c r="K10" s="16"/>
      <c r="L10" s="16"/>
      <c r="M10" s="16"/>
      <c r="N10" s="17" t="s">
        <v>90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31"/>
      <c r="B11" s="19" t="s">
        <v>52</v>
      </c>
      <c r="C11" s="21" t="s">
        <v>53</v>
      </c>
      <c r="D11" s="21" t="s">
        <v>49</v>
      </c>
      <c r="E11" s="22" t="s">
        <v>49</v>
      </c>
      <c r="F11" s="17" t="s">
        <v>78</v>
      </c>
      <c r="G11" s="22"/>
      <c r="H11" s="22" t="s">
        <v>144</v>
      </c>
      <c r="I11" s="33"/>
      <c r="J11" s="17" t="s">
        <v>105</v>
      </c>
      <c r="K11" s="16"/>
      <c r="L11" s="16"/>
      <c r="M11" s="16"/>
      <c r="N11" s="17" t="s">
        <v>90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31"/>
      <c r="B12" s="19" t="s">
        <v>54</v>
      </c>
      <c r="C12" s="21" t="s">
        <v>55</v>
      </c>
      <c r="D12" s="21" t="s">
        <v>145</v>
      </c>
      <c r="E12" s="22"/>
      <c r="F12" s="17" t="s">
        <v>78</v>
      </c>
      <c r="G12" s="22"/>
      <c r="H12" s="22"/>
      <c r="I12" s="22"/>
      <c r="J12" s="16"/>
      <c r="K12" s="16"/>
      <c r="L12" s="16"/>
      <c r="M12" s="16"/>
      <c r="N12" s="17" t="s">
        <v>90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31"/>
      <c r="B13" s="19" t="s">
        <v>56</v>
      </c>
      <c r="C13" s="21" t="s">
        <v>58</v>
      </c>
      <c r="D13" s="21" t="s">
        <v>146</v>
      </c>
      <c r="E13" s="22"/>
      <c r="F13" s="17" t="s">
        <v>78</v>
      </c>
      <c r="G13" s="22"/>
      <c r="H13" s="22"/>
      <c r="I13" s="22"/>
      <c r="J13" s="17" t="s">
        <v>105</v>
      </c>
      <c r="K13" s="17"/>
      <c r="L13" s="16"/>
      <c r="M13" s="16"/>
      <c r="N13" s="17" t="s">
        <v>90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>
      <c r="A14" s="31"/>
      <c r="B14" s="19" t="s">
        <v>59</v>
      </c>
      <c r="C14" s="19" t="s">
        <v>60</v>
      </c>
      <c r="D14" s="21" t="s">
        <v>147</v>
      </c>
      <c r="E14" s="22"/>
      <c r="F14" s="17" t="s">
        <v>78</v>
      </c>
      <c r="G14" s="22"/>
      <c r="H14" s="22"/>
      <c r="I14" s="22"/>
      <c r="J14" s="16"/>
      <c r="K14" s="16"/>
      <c r="L14" s="16"/>
      <c r="M14" s="16"/>
      <c r="N14" s="17" t="s">
        <v>90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A15" s="31"/>
      <c r="B15" s="21" t="s">
        <v>61</v>
      </c>
      <c r="C15" s="21" t="s">
        <v>62</v>
      </c>
      <c r="D15" s="21" t="s">
        <v>148</v>
      </c>
      <c r="E15" s="22"/>
      <c r="F15" s="17" t="s">
        <v>149</v>
      </c>
      <c r="G15" s="22"/>
      <c r="H15" s="22"/>
      <c r="I15" s="22"/>
      <c r="J15" s="17" t="s">
        <v>105</v>
      </c>
      <c r="K15" s="17" t="s">
        <v>141</v>
      </c>
      <c r="L15" s="16"/>
      <c r="M15" s="16"/>
      <c r="N15" s="17" t="s">
        <v>90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31"/>
      <c r="B16" s="21" t="s">
        <v>63</v>
      </c>
      <c r="C16" s="21" t="s">
        <v>64</v>
      </c>
      <c r="D16" s="21" t="s">
        <v>150</v>
      </c>
      <c r="E16" s="22"/>
      <c r="F16" s="17" t="s">
        <v>149</v>
      </c>
      <c r="G16" s="22"/>
      <c r="H16" s="22"/>
      <c r="I16" s="22"/>
      <c r="J16" s="16"/>
      <c r="K16" s="16"/>
      <c r="L16" s="16"/>
      <c r="M16" s="16"/>
      <c r="N16" s="17" t="s">
        <v>90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31"/>
      <c r="B17" s="21" t="s">
        <v>65</v>
      </c>
      <c r="C17" s="21" t="s">
        <v>66</v>
      </c>
      <c r="D17" s="21" t="s">
        <v>151</v>
      </c>
      <c r="E17" s="22"/>
      <c r="F17" s="17" t="s">
        <v>78</v>
      </c>
      <c r="G17" s="22"/>
      <c r="H17" s="22"/>
      <c r="I17" s="22"/>
      <c r="J17" s="17" t="s">
        <v>105</v>
      </c>
      <c r="K17" s="16"/>
      <c r="L17" s="16"/>
      <c r="M17" s="16"/>
      <c r="N17" s="17" t="s">
        <v>90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31"/>
      <c r="B18" s="21" t="s">
        <v>67</v>
      </c>
      <c r="C18" s="21" t="s">
        <v>68</v>
      </c>
      <c r="D18" s="21" t="s">
        <v>76</v>
      </c>
      <c r="E18" s="22" t="s">
        <v>76</v>
      </c>
      <c r="F18" s="17" t="s">
        <v>149</v>
      </c>
      <c r="G18" s="22"/>
      <c r="H18" s="33" t="s">
        <v>140</v>
      </c>
      <c r="I18" s="33"/>
      <c r="J18" s="17" t="s">
        <v>105</v>
      </c>
      <c r="K18" s="31" t="s">
        <v>152</v>
      </c>
      <c r="L18" s="16"/>
      <c r="M18" s="16"/>
      <c r="N18" s="17" t="s">
        <v>90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31"/>
      <c r="B19" s="21" t="s">
        <v>69</v>
      </c>
      <c r="C19" s="21" t="s">
        <v>70</v>
      </c>
      <c r="D19" s="21" t="s">
        <v>84</v>
      </c>
      <c r="E19" s="22" t="s">
        <v>84</v>
      </c>
      <c r="F19" s="17" t="s">
        <v>78</v>
      </c>
      <c r="G19" s="22"/>
      <c r="H19" s="22" t="s">
        <v>153</v>
      </c>
      <c r="I19" s="33"/>
      <c r="J19" s="17" t="s">
        <v>105</v>
      </c>
      <c r="K19" s="31" t="s">
        <v>152</v>
      </c>
      <c r="L19" s="16"/>
      <c r="M19" s="16"/>
      <c r="N19" s="17" t="s">
        <v>90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25"/>
      <c r="B20" s="26" t="s">
        <v>71</v>
      </c>
      <c r="C20" s="26" t="s">
        <v>72</v>
      </c>
      <c r="D20" s="26" t="s">
        <v>88</v>
      </c>
      <c r="E20" s="27" t="s">
        <v>88</v>
      </c>
      <c r="F20" s="28" t="s">
        <v>149</v>
      </c>
      <c r="G20" s="27"/>
      <c r="H20" s="27" t="s">
        <v>154</v>
      </c>
      <c r="I20" s="27" t="s">
        <v>155</v>
      </c>
      <c r="J20" s="28" t="s">
        <v>105</v>
      </c>
      <c r="K20" s="30"/>
      <c r="L20" s="30"/>
      <c r="M20" s="30"/>
      <c r="N20" s="28" t="s">
        <v>90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31"/>
      <c r="B21" s="21" t="s">
        <v>74</v>
      </c>
      <c r="C21" s="21" t="s">
        <v>75</v>
      </c>
      <c r="D21" s="21" t="s">
        <v>156</v>
      </c>
      <c r="E21" s="22"/>
      <c r="F21" s="17" t="s">
        <v>78</v>
      </c>
      <c r="G21" s="22"/>
      <c r="H21" s="22"/>
      <c r="I21" s="22"/>
      <c r="J21" s="17" t="s">
        <v>105</v>
      </c>
      <c r="K21" s="16"/>
      <c r="L21" s="16"/>
      <c r="M21" s="16"/>
      <c r="N21" s="17" t="s">
        <v>90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31"/>
      <c r="B22" s="21" t="s">
        <v>77</v>
      </c>
      <c r="C22" s="21" t="s">
        <v>79</v>
      </c>
      <c r="D22" s="21" t="s">
        <v>96</v>
      </c>
      <c r="E22" s="22" t="s">
        <v>96</v>
      </c>
      <c r="F22" s="17" t="s">
        <v>78</v>
      </c>
      <c r="G22" s="22"/>
      <c r="H22" s="22" t="s">
        <v>157</v>
      </c>
      <c r="I22" s="22"/>
      <c r="J22" s="17" t="s">
        <v>105</v>
      </c>
      <c r="K22" s="31" t="s">
        <v>152</v>
      </c>
      <c r="L22" s="16"/>
      <c r="M22" s="16"/>
      <c r="N22" s="17" t="s">
        <v>90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31"/>
      <c r="B23" s="21" t="s">
        <v>81</v>
      </c>
      <c r="C23" s="21" t="s">
        <v>83</v>
      </c>
      <c r="D23" s="21" t="s">
        <v>158</v>
      </c>
      <c r="E23" s="22"/>
      <c r="F23" s="17" t="s">
        <v>78</v>
      </c>
      <c r="G23" s="22"/>
      <c r="H23" s="22"/>
      <c r="I23" s="22"/>
      <c r="J23" s="17" t="s">
        <v>105</v>
      </c>
      <c r="K23" s="31" t="s">
        <v>152</v>
      </c>
      <c r="L23" s="16"/>
      <c r="M23" s="16"/>
      <c r="N23" s="17" t="s">
        <v>90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31"/>
      <c r="B24" s="21" t="s">
        <v>106</v>
      </c>
      <c r="C24" s="21" t="s">
        <v>86</v>
      </c>
      <c r="D24" s="21" t="s">
        <v>159</v>
      </c>
      <c r="E24" s="22"/>
      <c r="F24" s="17" t="s">
        <v>78</v>
      </c>
      <c r="G24" s="22"/>
      <c r="H24" s="22"/>
      <c r="I24" s="22"/>
      <c r="J24" s="16"/>
      <c r="K24" s="16"/>
      <c r="L24" s="16"/>
      <c r="M24" s="16"/>
      <c r="N24" s="17" t="s">
        <v>90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34"/>
      <c r="B25" s="26" t="s">
        <v>87</v>
      </c>
      <c r="C25" s="26" t="s">
        <v>89</v>
      </c>
      <c r="D25" s="26" t="s">
        <v>160</v>
      </c>
      <c r="E25" s="27"/>
      <c r="F25" s="28" t="s">
        <v>149</v>
      </c>
      <c r="G25" s="27"/>
      <c r="H25" s="27"/>
      <c r="I25" s="27"/>
      <c r="J25" s="30"/>
      <c r="K25" s="30"/>
      <c r="L25" s="30"/>
      <c r="M25" s="30"/>
      <c r="N25" s="28" t="s">
        <v>90</v>
      </c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1"/>
      <c r="B26" s="21" t="s">
        <v>91</v>
      </c>
      <c r="C26" s="21" t="s">
        <v>92</v>
      </c>
      <c r="D26" s="21" t="s">
        <v>161</v>
      </c>
      <c r="E26" s="22"/>
      <c r="F26" s="17" t="s">
        <v>78</v>
      </c>
      <c r="G26" s="22"/>
      <c r="H26" s="22"/>
      <c r="I26" s="22"/>
      <c r="J26" s="17" t="s">
        <v>105</v>
      </c>
      <c r="K26" s="16"/>
      <c r="L26" s="16"/>
      <c r="M26" s="16"/>
      <c r="N26" s="17" t="s">
        <v>90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31"/>
      <c r="B27" s="21" t="s">
        <v>93</v>
      </c>
      <c r="C27" s="21" t="s">
        <v>94</v>
      </c>
      <c r="D27" s="21" t="s">
        <v>162</v>
      </c>
      <c r="E27" s="22"/>
      <c r="F27" s="17" t="s">
        <v>78</v>
      </c>
      <c r="G27" s="22"/>
      <c r="H27" s="22"/>
      <c r="I27" s="22"/>
      <c r="J27" s="17" t="s">
        <v>105</v>
      </c>
      <c r="K27" s="16"/>
      <c r="L27" s="16"/>
      <c r="M27" s="16"/>
      <c r="N27" s="17" t="s">
        <v>90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31"/>
      <c r="B28" s="21" t="s">
        <v>95</v>
      </c>
      <c r="C28" s="21" t="s">
        <v>97</v>
      </c>
      <c r="D28" s="21" t="s">
        <v>163</v>
      </c>
      <c r="E28" s="22"/>
      <c r="F28" s="17" t="s">
        <v>78</v>
      </c>
      <c r="G28" s="22"/>
      <c r="H28" s="22"/>
      <c r="I28" s="22"/>
      <c r="J28" s="16"/>
      <c r="K28" s="16"/>
      <c r="L28" s="16"/>
      <c r="M28" s="16"/>
      <c r="N28" s="17" t="s">
        <v>90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31"/>
      <c r="B29" s="21" t="s">
        <v>99</v>
      </c>
      <c r="C29" s="21" t="s">
        <v>100</v>
      </c>
      <c r="D29" s="21" t="s">
        <v>119</v>
      </c>
      <c r="E29" s="22" t="s">
        <v>119</v>
      </c>
      <c r="F29" s="17" t="s">
        <v>78</v>
      </c>
      <c r="G29" s="22"/>
      <c r="H29" s="22" t="s">
        <v>164</v>
      </c>
      <c r="I29" s="22" t="s">
        <v>165</v>
      </c>
      <c r="J29" s="17" t="s">
        <v>105</v>
      </c>
      <c r="K29" s="16"/>
      <c r="L29" s="16"/>
      <c r="M29" s="16"/>
      <c r="N29" s="17" t="s">
        <v>90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5"/>
      <c r="B30" s="26" t="s">
        <v>101</v>
      </c>
      <c r="C30" s="26" t="s">
        <v>102</v>
      </c>
      <c r="D30" s="26" t="s">
        <v>125</v>
      </c>
      <c r="E30" s="27" t="s">
        <v>125</v>
      </c>
      <c r="F30" s="28" t="s">
        <v>78</v>
      </c>
      <c r="G30" s="27"/>
      <c r="H30" s="29" t="s">
        <v>166</v>
      </c>
      <c r="I30" s="27"/>
      <c r="J30" s="28" t="s">
        <v>105</v>
      </c>
      <c r="K30" s="30"/>
      <c r="L30" s="30"/>
      <c r="M30" s="30"/>
      <c r="N30" s="28" t="s">
        <v>90</v>
      </c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1"/>
      <c r="B31" s="21" t="s">
        <v>103</v>
      </c>
      <c r="C31" s="21" t="s">
        <v>104</v>
      </c>
      <c r="D31" s="21" t="s">
        <v>130</v>
      </c>
      <c r="E31" s="22" t="s">
        <v>130</v>
      </c>
      <c r="F31" s="32" t="s">
        <v>78</v>
      </c>
      <c r="G31" s="22"/>
      <c r="H31" s="22" t="s">
        <v>167</v>
      </c>
      <c r="I31" s="22"/>
      <c r="J31" s="17" t="s">
        <v>105</v>
      </c>
      <c r="K31" s="16"/>
      <c r="L31" s="16"/>
      <c r="M31" s="16"/>
      <c r="N31" s="17" t="s">
        <v>90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31"/>
      <c r="B32" s="21" t="s">
        <v>107</v>
      </c>
      <c r="C32" s="21" t="s">
        <v>108</v>
      </c>
      <c r="D32" s="21" t="s">
        <v>132</v>
      </c>
      <c r="E32" s="22" t="s">
        <v>132</v>
      </c>
      <c r="F32" s="17" t="s">
        <v>78</v>
      </c>
      <c r="G32" s="22"/>
      <c r="H32" s="22" t="s">
        <v>168</v>
      </c>
      <c r="I32" s="22"/>
      <c r="J32" s="16"/>
      <c r="K32" s="31" t="s">
        <v>152</v>
      </c>
      <c r="L32" s="16"/>
      <c r="M32" s="16"/>
      <c r="N32" s="17" t="s">
        <v>90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>
      <c r="A33" s="31"/>
      <c r="B33" s="21" t="s">
        <v>109</v>
      </c>
      <c r="C33" s="21" t="s">
        <v>110</v>
      </c>
      <c r="D33" s="21" t="s">
        <v>134</v>
      </c>
      <c r="E33" s="22" t="s">
        <v>134</v>
      </c>
      <c r="F33" s="17" t="s">
        <v>78</v>
      </c>
      <c r="G33" s="22"/>
      <c r="H33" s="22" t="s">
        <v>169</v>
      </c>
      <c r="I33" s="22"/>
      <c r="J33" s="17" t="s">
        <v>105</v>
      </c>
      <c r="K33" s="16"/>
      <c r="L33" s="16"/>
      <c r="M33" s="16"/>
      <c r="N33" s="17" t="s">
        <v>90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>
      <c r="A34" s="31"/>
      <c r="B34" s="21" t="s">
        <v>111</v>
      </c>
      <c r="C34" s="21" t="s">
        <v>112</v>
      </c>
      <c r="D34" s="21" t="s">
        <v>170</v>
      </c>
      <c r="E34" s="22"/>
      <c r="F34" s="17" t="s">
        <v>78</v>
      </c>
      <c r="G34" s="22"/>
      <c r="H34" s="22"/>
      <c r="I34" s="22"/>
      <c r="J34" s="17" t="s">
        <v>105</v>
      </c>
      <c r="K34" s="16"/>
      <c r="L34" s="16"/>
      <c r="M34" s="16"/>
      <c r="N34" s="17" t="s">
        <v>90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>
      <c r="A35" s="31"/>
      <c r="B35" s="21" t="s">
        <v>113</v>
      </c>
      <c r="C35" s="21" t="s">
        <v>114</v>
      </c>
      <c r="D35" s="21" t="s">
        <v>171</v>
      </c>
      <c r="E35" s="22"/>
      <c r="F35" s="17" t="s">
        <v>78</v>
      </c>
      <c r="G35" s="22"/>
      <c r="H35" s="22"/>
      <c r="I35" s="22"/>
      <c r="J35" s="17" t="s">
        <v>105</v>
      </c>
      <c r="K35" s="16"/>
      <c r="L35" s="16"/>
      <c r="M35" s="16"/>
      <c r="N35" s="17" t="s">
        <v>90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>
      <c r="A36" s="31"/>
      <c r="B36" s="21" t="s">
        <v>115</v>
      </c>
      <c r="C36" s="21" t="s">
        <v>116</v>
      </c>
      <c r="D36" s="21" t="s">
        <v>172</v>
      </c>
      <c r="E36" s="22"/>
      <c r="F36" s="17" t="s">
        <v>149</v>
      </c>
      <c r="G36" s="22"/>
      <c r="H36" s="22"/>
      <c r="I36" s="22"/>
      <c r="J36" s="17" t="s">
        <v>105</v>
      </c>
      <c r="K36" s="31" t="s">
        <v>152</v>
      </c>
      <c r="L36" s="16"/>
      <c r="M36" s="16"/>
      <c r="N36" s="17" t="s">
        <v>90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>
      <c r="A37" s="31"/>
      <c r="B37" s="21" t="s">
        <v>117</v>
      </c>
      <c r="C37" s="19" t="s">
        <v>118</v>
      </c>
      <c r="D37" s="21" t="s">
        <v>173</v>
      </c>
      <c r="E37" s="22"/>
      <c r="F37" s="17" t="s">
        <v>78</v>
      </c>
      <c r="G37" s="22"/>
      <c r="H37" s="22"/>
      <c r="I37" s="22"/>
      <c r="J37" s="16"/>
      <c r="K37" s="17"/>
      <c r="L37" s="16"/>
      <c r="M37" s="16"/>
      <c r="N37" s="17" t="s">
        <v>90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>
      <c r="A38" s="31"/>
      <c r="B38" s="21" t="s">
        <v>120</v>
      </c>
      <c r="C38" s="21" t="s">
        <v>121</v>
      </c>
      <c r="D38" s="21" t="s">
        <v>137</v>
      </c>
      <c r="E38" s="22" t="s">
        <v>137</v>
      </c>
      <c r="F38" s="17" t="s">
        <v>78</v>
      </c>
      <c r="G38" s="22"/>
      <c r="H38" s="22" t="s">
        <v>174</v>
      </c>
      <c r="I38" s="22"/>
      <c r="J38" s="17" t="s">
        <v>105</v>
      </c>
      <c r="K38" s="16"/>
      <c r="L38" s="16"/>
      <c r="M38" s="16"/>
      <c r="N38" s="17" t="s">
        <v>90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31"/>
      <c r="B39" s="21" t="s">
        <v>122</v>
      </c>
      <c r="C39" s="21" t="s">
        <v>123</v>
      </c>
      <c r="D39" s="21" t="s">
        <v>175</v>
      </c>
      <c r="E39" s="22"/>
      <c r="F39" s="17" t="s">
        <v>78</v>
      </c>
      <c r="G39" s="22"/>
      <c r="H39" s="22"/>
      <c r="I39" s="22"/>
      <c r="J39" s="17" t="s">
        <v>105</v>
      </c>
      <c r="K39" s="16"/>
      <c r="L39" s="16"/>
      <c r="M39" s="16"/>
      <c r="N39" s="17" t="s">
        <v>90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>
      <c r="A40" s="31"/>
      <c r="B40" s="21" t="s">
        <v>126</v>
      </c>
      <c r="C40" s="21" t="s">
        <v>127</v>
      </c>
      <c r="D40" s="21" t="s">
        <v>138</v>
      </c>
      <c r="E40" s="22" t="s">
        <v>138</v>
      </c>
      <c r="F40" s="17" t="s">
        <v>78</v>
      </c>
      <c r="G40" s="22"/>
      <c r="H40" s="22" t="s">
        <v>176</v>
      </c>
      <c r="I40" s="33"/>
      <c r="J40" s="17" t="s">
        <v>105</v>
      </c>
      <c r="K40" s="16"/>
      <c r="L40" s="16"/>
      <c r="M40" s="16"/>
      <c r="N40" s="17" t="s">
        <v>90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>
      <c r="A41" s="31"/>
      <c r="B41" s="21" t="s">
        <v>128</v>
      </c>
      <c r="C41" s="21" t="s">
        <v>129</v>
      </c>
      <c r="D41" s="21" t="s">
        <v>139</v>
      </c>
      <c r="E41" s="22" t="s">
        <v>139</v>
      </c>
      <c r="F41" s="17" t="s">
        <v>78</v>
      </c>
      <c r="G41" s="22"/>
      <c r="H41" s="22" t="s">
        <v>176</v>
      </c>
      <c r="I41" s="33" t="s">
        <v>177</v>
      </c>
      <c r="J41" s="16"/>
      <c r="K41" s="17"/>
      <c r="L41" s="16"/>
      <c r="M41" s="16"/>
      <c r="N41" s="17" t="s">
        <v>90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>
      <c r="A42" s="17" t="s">
        <v>178</v>
      </c>
      <c r="B42" s="17" t="s">
        <v>179</v>
      </c>
      <c r="C42" s="17" t="s">
        <v>180</v>
      </c>
      <c r="D42" s="16"/>
      <c r="E42" s="16"/>
      <c r="F42" s="16"/>
      <c r="G42" s="17">
        <v>2.8</v>
      </c>
      <c r="H42" s="16"/>
      <c r="I42" s="17" t="s">
        <v>57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>
      <c r="A43" s="16"/>
      <c r="B43" s="17" t="s">
        <v>131</v>
      </c>
      <c r="C43" s="16"/>
      <c r="D43" s="17"/>
      <c r="E43" s="17" t="s">
        <v>181</v>
      </c>
      <c r="F43" s="16"/>
      <c r="G43" s="17" t="s">
        <v>182</v>
      </c>
      <c r="H43" s="17" t="s">
        <v>183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>
      <c r="A44" s="17" t="s">
        <v>184</v>
      </c>
      <c r="B44" s="17" t="s">
        <v>185</v>
      </c>
      <c r="C44" s="17" t="s">
        <v>186</v>
      </c>
      <c r="D44" s="17"/>
      <c r="E44" s="17"/>
      <c r="F44" s="16"/>
      <c r="G44" s="17">
        <v>2.8</v>
      </c>
      <c r="H44" s="16"/>
      <c r="I44" s="17" t="s">
        <v>57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>
      <c r="A45" s="17" t="s">
        <v>187</v>
      </c>
      <c r="B45" s="17" t="s">
        <v>185</v>
      </c>
      <c r="C45" s="17" t="s">
        <v>186</v>
      </c>
      <c r="D45" s="17"/>
      <c r="E45" s="17"/>
      <c r="F45" s="16"/>
      <c r="G45" s="17">
        <v>2.8</v>
      </c>
      <c r="H45" s="16"/>
      <c r="I45" s="17" t="s">
        <v>57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>
      <c r="A46" s="17" t="s">
        <v>188</v>
      </c>
      <c r="B46" s="17" t="s">
        <v>185</v>
      </c>
      <c r="C46" s="17" t="s">
        <v>186</v>
      </c>
      <c r="D46" s="17"/>
      <c r="E46" s="17"/>
      <c r="F46" s="16"/>
      <c r="G46" s="17">
        <v>2.8</v>
      </c>
      <c r="H46" s="16"/>
      <c r="I46" s="17" t="s">
        <v>57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>
      <c r="A47" s="17" t="s">
        <v>189</v>
      </c>
      <c r="B47" s="17" t="s">
        <v>185</v>
      </c>
      <c r="C47" s="17" t="s">
        <v>190</v>
      </c>
      <c r="D47" s="17"/>
      <c r="E47" s="17"/>
      <c r="F47" s="17"/>
      <c r="G47" s="17">
        <v>3.0</v>
      </c>
      <c r="H47" s="16"/>
      <c r="I47" s="17" t="s">
        <v>57</v>
      </c>
      <c r="J47" s="16"/>
      <c r="K47" s="17"/>
      <c r="L47" s="17"/>
      <c r="M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>
      <c r="A48" s="17" t="s">
        <v>191</v>
      </c>
      <c r="B48" s="17" t="s">
        <v>185</v>
      </c>
      <c r="C48" s="17" t="s">
        <v>180</v>
      </c>
      <c r="D48" s="18"/>
      <c r="E48" s="18"/>
      <c r="F48" s="16"/>
      <c r="G48" s="17">
        <v>2.3</v>
      </c>
      <c r="H48" s="16"/>
      <c r="I48" s="17" t="s">
        <v>57</v>
      </c>
      <c r="J48" s="16"/>
      <c r="K48" s="35" t="s">
        <v>192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>
      <c r="A49" s="17" t="s">
        <v>193</v>
      </c>
      <c r="B49" s="17" t="s">
        <v>185</v>
      </c>
      <c r="C49" s="17" t="s">
        <v>180</v>
      </c>
      <c r="D49" s="17"/>
      <c r="E49" s="17"/>
      <c r="F49" s="16"/>
      <c r="G49" s="17">
        <v>2.5</v>
      </c>
      <c r="H49" s="16"/>
      <c r="I49" s="16"/>
      <c r="J49" s="17" t="s">
        <v>194</v>
      </c>
      <c r="K49" s="36" t="s">
        <v>195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>
      <c r="A50" s="16"/>
      <c r="B50" s="16"/>
      <c r="C50" s="17" t="s">
        <v>24</v>
      </c>
      <c r="D50" s="17"/>
      <c r="E50" s="17" t="s">
        <v>196</v>
      </c>
      <c r="F50" s="16"/>
      <c r="G50" s="17" t="s">
        <v>197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>
      <c r="A51" s="17" t="s">
        <v>198</v>
      </c>
      <c r="B51" s="16"/>
      <c r="C51" s="17" t="s">
        <v>180</v>
      </c>
      <c r="D51" s="17"/>
      <c r="E51" s="17" t="s">
        <v>199</v>
      </c>
      <c r="F51" s="16"/>
      <c r="G51" s="17">
        <v>2.7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>
      <c r="A52" s="17" t="s">
        <v>200</v>
      </c>
      <c r="B52" s="16"/>
      <c r="C52" s="17" t="s">
        <v>186</v>
      </c>
      <c r="D52" s="16"/>
      <c r="E52" s="16"/>
      <c r="F52" s="16"/>
      <c r="G52" s="17">
        <v>1.1</v>
      </c>
      <c r="H52" s="16">
        <f>SUM(G47:G52)</f>
        <v>11.6</v>
      </c>
      <c r="I52" s="17" t="s">
        <v>57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>
      <c r="A54" s="17" t="s">
        <v>201</v>
      </c>
      <c r="B54" s="16"/>
      <c r="C54" s="17" t="s">
        <v>202</v>
      </c>
      <c r="D54" s="16"/>
      <c r="E54" s="16"/>
      <c r="F54" s="16"/>
      <c r="G54" s="17">
        <v>2.3</v>
      </c>
      <c r="H54" s="16"/>
      <c r="I54" s="17" t="s">
        <v>57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>
      <c r="A55" s="17" t="s">
        <v>203</v>
      </c>
      <c r="B55" s="16"/>
      <c r="C55" s="17" t="s">
        <v>202</v>
      </c>
      <c r="D55" s="16"/>
      <c r="E55" s="16"/>
      <c r="F55" s="16"/>
      <c r="G55" s="17">
        <v>0.601</v>
      </c>
      <c r="H55" s="16" t="str">
        <f>SUM(#REF!)</f>
        <v>#REF!</v>
      </c>
      <c r="I55" s="17" t="s">
        <v>57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>
      <c r="A56" s="17" t="s">
        <v>204</v>
      </c>
      <c r="B56" s="16"/>
      <c r="C56" s="17" t="s">
        <v>190</v>
      </c>
      <c r="D56" s="17"/>
      <c r="E56" s="17"/>
      <c r="F56" s="17"/>
      <c r="G56" s="17">
        <v>1.9</v>
      </c>
      <c r="H56" s="16"/>
      <c r="I56" s="17" t="s">
        <v>57</v>
      </c>
      <c r="J56" s="16"/>
      <c r="K56" s="17"/>
      <c r="L56" s="17"/>
      <c r="M56" s="1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>
      <c r="A57" s="17" t="s">
        <v>205</v>
      </c>
      <c r="B57" s="16"/>
      <c r="C57" s="17" t="s">
        <v>190</v>
      </c>
      <c r="D57" s="16"/>
      <c r="E57" s="16"/>
      <c r="F57" s="17"/>
      <c r="G57" s="17">
        <v>1.6</v>
      </c>
      <c r="H57" s="16"/>
      <c r="I57" s="17" t="s">
        <v>57</v>
      </c>
      <c r="J57" s="16"/>
      <c r="K57" s="17"/>
      <c r="L57" s="17"/>
      <c r="M57" s="1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>
      <c r="A58" s="17" t="s">
        <v>206</v>
      </c>
      <c r="B58" s="16"/>
      <c r="C58" s="17" t="s">
        <v>190</v>
      </c>
      <c r="D58" s="16"/>
      <c r="E58" s="16"/>
      <c r="F58" s="17"/>
      <c r="G58" s="17">
        <v>1.4</v>
      </c>
      <c r="H58" s="16"/>
      <c r="I58" s="17" t="s">
        <v>57</v>
      </c>
      <c r="J58" s="16"/>
      <c r="K58" s="17"/>
      <c r="L58" s="17"/>
      <c r="M58" s="17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>
      <c r="A59" s="17" t="s">
        <v>207</v>
      </c>
      <c r="B59" s="16"/>
      <c r="C59" s="17" t="s">
        <v>190</v>
      </c>
      <c r="D59" s="16"/>
      <c r="E59" s="16"/>
      <c r="F59" s="17"/>
      <c r="G59" s="17">
        <v>1.6</v>
      </c>
      <c r="H59" s="16"/>
      <c r="I59" s="17" t="s">
        <v>57</v>
      </c>
      <c r="J59" s="16"/>
      <c r="K59" s="17"/>
      <c r="L59" s="17"/>
      <c r="M59" s="1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>
      <c r="A60" s="17" t="s">
        <v>208</v>
      </c>
      <c r="B60" s="16"/>
      <c r="C60" s="17" t="s">
        <v>190</v>
      </c>
      <c r="D60" s="16"/>
      <c r="E60" s="16"/>
      <c r="F60" s="16"/>
      <c r="G60" s="17">
        <v>1.4</v>
      </c>
      <c r="H60" s="16"/>
      <c r="I60" s="17" t="s">
        <v>57</v>
      </c>
      <c r="J60" s="16"/>
      <c r="K60" s="16"/>
      <c r="L60" s="16"/>
      <c r="M60" s="1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>
      <c r="A61" s="17" t="s">
        <v>209</v>
      </c>
      <c r="B61" s="16"/>
      <c r="C61" s="17" t="s">
        <v>190</v>
      </c>
      <c r="D61" s="16"/>
      <c r="E61" s="16"/>
      <c r="F61" s="16"/>
      <c r="G61" s="17">
        <v>1.1</v>
      </c>
      <c r="H61" s="16"/>
      <c r="I61" s="17" t="s">
        <v>57</v>
      </c>
      <c r="J61" s="16"/>
      <c r="K61" s="16"/>
      <c r="L61" s="16"/>
      <c r="M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>
      <c r="A62" s="17" t="s">
        <v>210</v>
      </c>
      <c r="B62" s="16"/>
      <c r="C62" s="17" t="s">
        <v>190</v>
      </c>
      <c r="D62" s="16"/>
      <c r="E62" s="16"/>
      <c r="F62" s="16"/>
      <c r="G62" s="17">
        <v>0.702</v>
      </c>
      <c r="H62" s="16"/>
      <c r="I62" s="17" t="s">
        <v>57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>
      <c r="A63" s="17" t="s">
        <v>211</v>
      </c>
      <c r="B63" s="16"/>
      <c r="C63" s="17" t="s">
        <v>180</v>
      </c>
      <c r="D63" s="16"/>
      <c r="E63" s="16"/>
      <c r="F63" s="16"/>
      <c r="G63" s="17">
        <v>2.8</v>
      </c>
      <c r="H63" s="16"/>
      <c r="I63" s="17" t="s">
        <v>57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>
      <c r="A976" s="16"/>
      <c r="B976" s="16"/>
      <c r="C976" s="16"/>
      <c r="D976" s="16"/>
      <c r="E976" s="16"/>
      <c r="F976" s="17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</sheetData>
  <conditionalFormatting sqref="N1:N22 N48:N63">
    <cfRule type="notContainsBlanks" dxfId="0" priority="1">
      <formula>LEN(TRIM(N1))&gt;0</formula>
    </cfRule>
  </conditionalFormatting>
  <conditionalFormatting sqref="N1:N22 N48:N63">
    <cfRule type="notContainsBlanks" dxfId="0" priority="2">
      <formula>LEN(TRIM(N1))&gt;0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46.88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9</v>
      </c>
      <c r="G1" s="2" t="s">
        <v>10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18</v>
      </c>
      <c r="B2" s="7" t="s">
        <v>21</v>
      </c>
    </row>
    <row r="3">
      <c r="A3" s="7" t="s">
        <v>25</v>
      </c>
      <c r="B3" s="7" t="s">
        <v>21</v>
      </c>
      <c r="C3" s="13" t="s">
        <v>26</v>
      </c>
    </row>
    <row r="4">
      <c r="A4" s="7" t="s">
        <v>27</v>
      </c>
      <c r="B4" s="7" t="s">
        <v>21</v>
      </c>
    </row>
    <row r="5">
      <c r="A5" s="7" t="s">
        <v>30</v>
      </c>
      <c r="B5" s="7" t="s">
        <v>21</v>
      </c>
    </row>
    <row r="6">
      <c r="A6" s="7" t="s">
        <v>34</v>
      </c>
      <c r="B6" s="7" t="s">
        <v>21</v>
      </c>
      <c r="C6" s="13" t="s">
        <v>38</v>
      </c>
    </row>
    <row r="7">
      <c r="A7" s="7" t="s">
        <v>43</v>
      </c>
      <c r="B7" s="7" t="s">
        <v>21</v>
      </c>
    </row>
    <row r="8">
      <c r="A8" s="7" t="s">
        <v>47</v>
      </c>
      <c r="B8" s="7" t="s">
        <v>21</v>
      </c>
      <c r="C8" s="13" t="s">
        <v>49</v>
      </c>
    </row>
    <row r="9">
      <c r="A9" s="7" t="s">
        <v>52</v>
      </c>
      <c r="B9" s="7" t="s">
        <v>21</v>
      </c>
    </row>
    <row r="10">
      <c r="A10" s="7" t="s">
        <v>54</v>
      </c>
      <c r="B10" s="7" t="s">
        <v>21</v>
      </c>
    </row>
    <row r="11">
      <c r="A11" s="7" t="s">
        <v>56</v>
      </c>
      <c r="B11" s="7" t="s">
        <v>21</v>
      </c>
    </row>
    <row r="12">
      <c r="A12" s="7" t="s">
        <v>59</v>
      </c>
      <c r="B12" s="7" t="s">
        <v>21</v>
      </c>
    </row>
    <row r="13">
      <c r="A13" s="7" t="s">
        <v>61</v>
      </c>
      <c r="B13" s="7" t="s">
        <v>21</v>
      </c>
    </row>
    <row r="14">
      <c r="A14" s="7" t="s">
        <v>63</v>
      </c>
      <c r="B14" s="7" t="s">
        <v>21</v>
      </c>
    </row>
    <row r="15">
      <c r="A15" s="7" t="s">
        <v>65</v>
      </c>
      <c r="B15" s="7" t="s">
        <v>21</v>
      </c>
      <c r="C15" s="13" t="s">
        <v>76</v>
      </c>
    </row>
    <row r="16">
      <c r="A16" s="7" t="s">
        <v>67</v>
      </c>
      <c r="B16" s="7" t="s">
        <v>21</v>
      </c>
      <c r="C16" s="13" t="s">
        <v>84</v>
      </c>
    </row>
    <row r="17">
      <c r="A17" s="7" t="s">
        <v>69</v>
      </c>
      <c r="B17" s="7" t="s">
        <v>21</v>
      </c>
      <c r="C17" s="13" t="s">
        <v>88</v>
      </c>
    </row>
    <row r="18">
      <c r="A18" s="7" t="s">
        <v>71</v>
      </c>
      <c r="B18" s="7" t="s">
        <v>21</v>
      </c>
    </row>
    <row r="19">
      <c r="A19" s="7" t="s">
        <v>74</v>
      </c>
      <c r="B19" s="7" t="s">
        <v>21</v>
      </c>
      <c r="C19" s="13" t="s">
        <v>96</v>
      </c>
    </row>
    <row r="20">
      <c r="A20" s="7" t="s">
        <v>77</v>
      </c>
      <c r="B20" s="7" t="s">
        <v>21</v>
      </c>
    </row>
    <row r="21">
      <c r="A21" s="7" t="s">
        <v>81</v>
      </c>
      <c r="B21" s="7" t="s">
        <v>21</v>
      </c>
    </row>
    <row r="22">
      <c r="A22" s="7" t="s">
        <v>106</v>
      </c>
      <c r="B22" s="7" t="s">
        <v>21</v>
      </c>
    </row>
    <row r="23">
      <c r="A23" s="7" t="s">
        <v>87</v>
      </c>
      <c r="B23" s="7" t="s">
        <v>21</v>
      </c>
    </row>
    <row r="24">
      <c r="A24" s="7" t="s">
        <v>91</v>
      </c>
      <c r="B24" s="7" t="s">
        <v>21</v>
      </c>
    </row>
    <row r="25">
      <c r="A25" s="7" t="s">
        <v>93</v>
      </c>
      <c r="B25" s="7" t="s">
        <v>21</v>
      </c>
    </row>
    <row r="26">
      <c r="A26" s="7" t="s">
        <v>95</v>
      </c>
      <c r="B26" s="7" t="s">
        <v>21</v>
      </c>
      <c r="C26" s="13" t="s">
        <v>119</v>
      </c>
    </row>
    <row r="27">
      <c r="A27" s="7" t="s">
        <v>99</v>
      </c>
      <c r="B27" s="7" t="s">
        <v>21</v>
      </c>
      <c r="C27" s="13" t="s">
        <v>125</v>
      </c>
    </row>
    <row r="28">
      <c r="A28" s="7" t="s">
        <v>101</v>
      </c>
      <c r="B28" s="7" t="s">
        <v>21</v>
      </c>
      <c r="C28" s="13" t="s">
        <v>130</v>
      </c>
    </row>
    <row r="29">
      <c r="A29" s="7" t="s">
        <v>103</v>
      </c>
      <c r="B29" s="7" t="s">
        <v>21</v>
      </c>
      <c r="C29" s="13" t="s">
        <v>132</v>
      </c>
    </row>
    <row r="30">
      <c r="A30" s="7" t="s">
        <v>107</v>
      </c>
      <c r="B30" s="7" t="s">
        <v>21</v>
      </c>
      <c r="C30" s="13" t="s">
        <v>134</v>
      </c>
    </row>
    <row r="31">
      <c r="A31" s="7" t="s">
        <v>109</v>
      </c>
      <c r="B31" s="7" t="s">
        <v>21</v>
      </c>
    </row>
    <row r="32">
      <c r="A32" s="7" t="s">
        <v>111</v>
      </c>
      <c r="B32" s="7" t="s">
        <v>21</v>
      </c>
    </row>
    <row r="33">
      <c r="A33" s="7" t="s">
        <v>113</v>
      </c>
      <c r="B33" s="7" t="s">
        <v>21</v>
      </c>
    </row>
    <row r="34">
      <c r="A34" s="7" t="s">
        <v>115</v>
      </c>
      <c r="B34" s="7" t="s">
        <v>21</v>
      </c>
    </row>
    <row r="35">
      <c r="A35" s="7" t="s">
        <v>117</v>
      </c>
      <c r="B35" s="7" t="s">
        <v>21</v>
      </c>
      <c r="C35" s="13" t="s">
        <v>137</v>
      </c>
    </row>
    <row r="36">
      <c r="A36" s="7" t="s">
        <v>120</v>
      </c>
      <c r="B36" s="7" t="s">
        <v>21</v>
      </c>
    </row>
    <row r="37">
      <c r="A37" s="7" t="s">
        <v>122</v>
      </c>
      <c r="B37" s="7" t="s">
        <v>21</v>
      </c>
      <c r="C37" s="13" t="s">
        <v>138</v>
      </c>
    </row>
    <row r="38">
      <c r="A38" s="7" t="s">
        <v>126</v>
      </c>
      <c r="B38" s="7" t="s">
        <v>21</v>
      </c>
      <c r="C38" s="13" t="s">
        <v>139</v>
      </c>
    </row>
    <row r="39">
      <c r="A39" s="7" t="s">
        <v>128</v>
      </c>
      <c r="B39" s="7" t="s">
        <v>21</v>
      </c>
    </row>
    <row r="40">
      <c r="C40" s="7" t="s">
        <v>42</v>
      </c>
    </row>
    <row r="41">
      <c r="A41" s="7" t="s">
        <v>37</v>
      </c>
      <c r="B41" s="7" t="s">
        <v>143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4" max="4" width="14.63"/>
  </cols>
  <sheetData>
    <row r="1">
      <c r="A1" s="6" t="s">
        <v>1</v>
      </c>
      <c r="B1" s="6" t="s">
        <v>5</v>
      </c>
      <c r="C1" s="7" t="s">
        <v>16</v>
      </c>
      <c r="D1" s="7" t="s">
        <v>17</v>
      </c>
    </row>
    <row r="2">
      <c r="A2" s="9" t="s">
        <v>18</v>
      </c>
      <c r="B2" s="11" t="s">
        <v>22</v>
      </c>
      <c r="C2" s="7">
        <v>566458.0</v>
      </c>
      <c r="E2" s="7" t="s">
        <v>29</v>
      </c>
    </row>
    <row r="3">
      <c r="A3" s="9" t="s">
        <v>25</v>
      </c>
      <c r="B3" s="11" t="s">
        <v>32</v>
      </c>
    </row>
    <row r="4">
      <c r="A4" s="9" t="s">
        <v>27</v>
      </c>
      <c r="B4" s="11" t="s">
        <v>36</v>
      </c>
    </row>
    <row r="5">
      <c r="A5" s="9" t="s">
        <v>30</v>
      </c>
      <c r="B5" s="11" t="s">
        <v>41</v>
      </c>
    </row>
    <row r="6">
      <c r="A6" s="9" t="s">
        <v>34</v>
      </c>
      <c r="B6" s="11" t="s">
        <v>45</v>
      </c>
    </row>
    <row r="7">
      <c r="A7" s="9" t="s">
        <v>43</v>
      </c>
      <c r="B7" s="11" t="s">
        <v>48</v>
      </c>
    </row>
    <row r="8">
      <c r="A8" s="9" t="s">
        <v>47</v>
      </c>
      <c r="B8" s="11" t="s">
        <v>50</v>
      </c>
    </row>
    <row r="9">
      <c r="A9" s="9" t="s">
        <v>52</v>
      </c>
      <c r="B9" s="11" t="s">
        <v>53</v>
      </c>
    </row>
    <row r="10">
      <c r="A10" s="9" t="s">
        <v>54</v>
      </c>
      <c r="B10" s="11" t="s">
        <v>55</v>
      </c>
    </row>
    <row r="11">
      <c r="A11" s="9" t="s">
        <v>56</v>
      </c>
      <c r="B11" s="11" t="s">
        <v>58</v>
      </c>
    </row>
    <row r="12">
      <c r="A12" s="9" t="s">
        <v>59</v>
      </c>
      <c r="B12" s="11" t="s">
        <v>60</v>
      </c>
    </row>
    <row r="13">
      <c r="A13" s="9" t="s">
        <v>61</v>
      </c>
      <c r="B13" s="11" t="s">
        <v>62</v>
      </c>
    </row>
    <row r="14">
      <c r="A14" s="9" t="s">
        <v>63</v>
      </c>
      <c r="B14" s="11" t="s">
        <v>64</v>
      </c>
    </row>
    <row r="15">
      <c r="A15" s="9" t="s">
        <v>65</v>
      </c>
      <c r="B15" s="11" t="s">
        <v>66</v>
      </c>
    </row>
    <row r="16">
      <c r="A16" s="9" t="s">
        <v>67</v>
      </c>
      <c r="B16" s="11" t="s">
        <v>68</v>
      </c>
    </row>
    <row r="17">
      <c r="A17" s="9" t="s">
        <v>69</v>
      </c>
      <c r="B17" s="11" t="s">
        <v>70</v>
      </c>
    </row>
    <row r="18">
      <c r="A18" s="9" t="s">
        <v>71</v>
      </c>
      <c r="B18" s="11" t="s">
        <v>72</v>
      </c>
    </row>
    <row r="19">
      <c r="A19" s="9" t="s">
        <v>74</v>
      </c>
      <c r="B19" s="11" t="s">
        <v>75</v>
      </c>
    </row>
    <row r="20">
      <c r="A20" s="9" t="s">
        <v>77</v>
      </c>
      <c r="B20" s="11" t="s">
        <v>79</v>
      </c>
    </row>
    <row r="21">
      <c r="A21" s="9" t="s">
        <v>81</v>
      </c>
      <c r="B21" s="11" t="s">
        <v>83</v>
      </c>
    </row>
    <row r="22">
      <c r="A22" s="9" t="s">
        <v>85</v>
      </c>
      <c r="B22" s="11" t="s">
        <v>86</v>
      </c>
    </row>
    <row r="23">
      <c r="A23" s="9" t="s">
        <v>87</v>
      </c>
      <c r="B23" s="9" t="s">
        <v>89</v>
      </c>
    </row>
    <row r="24">
      <c r="A24" s="9" t="s">
        <v>91</v>
      </c>
      <c r="B24" s="11" t="s">
        <v>92</v>
      </c>
    </row>
    <row r="25">
      <c r="A25" s="9" t="s">
        <v>93</v>
      </c>
      <c r="B25" s="11" t="s">
        <v>94</v>
      </c>
    </row>
    <row r="26">
      <c r="A26" s="9" t="s">
        <v>95</v>
      </c>
      <c r="B26" s="11" t="s">
        <v>97</v>
      </c>
    </row>
    <row r="27">
      <c r="A27" s="9" t="s">
        <v>99</v>
      </c>
      <c r="B27" s="11" t="s">
        <v>100</v>
      </c>
    </row>
    <row r="28">
      <c r="A28" s="9" t="s">
        <v>101</v>
      </c>
      <c r="B28" s="11" t="s">
        <v>102</v>
      </c>
    </row>
    <row r="29">
      <c r="A29" s="9" t="s">
        <v>103</v>
      </c>
      <c r="B29" s="11" t="s">
        <v>104</v>
      </c>
    </row>
    <row r="30">
      <c r="A30" s="9" t="s">
        <v>107</v>
      </c>
      <c r="B30" s="11" t="s">
        <v>108</v>
      </c>
    </row>
    <row r="31">
      <c r="A31" s="9" t="s">
        <v>109</v>
      </c>
      <c r="B31" s="11" t="s">
        <v>110</v>
      </c>
    </row>
    <row r="32">
      <c r="A32" s="9" t="s">
        <v>111</v>
      </c>
      <c r="B32" s="11" t="s">
        <v>112</v>
      </c>
    </row>
    <row r="33">
      <c r="A33" s="9" t="s">
        <v>113</v>
      </c>
      <c r="B33" s="11" t="s">
        <v>114</v>
      </c>
    </row>
    <row r="34">
      <c r="A34" s="9" t="s">
        <v>115</v>
      </c>
      <c r="B34" s="11" t="s">
        <v>116</v>
      </c>
    </row>
    <row r="35">
      <c r="A35" s="9" t="s">
        <v>117</v>
      </c>
      <c r="B35" s="11" t="s">
        <v>118</v>
      </c>
    </row>
    <row r="36">
      <c r="A36" s="9" t="s">
        <v>120</v>
      </c>
      <c r="B36" s="11" t="s">
        <v>121</v>
      </c>
    </row>
    <row r="37">
      <c r="A37" s="9" t="s">
        <v>122</v>
      </c>
      <c r="B37" s="11" t="s">
        <v>123</v>
      </c>
    </row>
    <row r="38">
      <c r="A38" s="9" t="s">
        <v>126</v>
      </c>
      <c r="B38" s="11" t="s">
        <v>127</v>
      </c>
    </row>
    <row r="39">
      <c r="A39" s="9" t="s">
        <v>128</v>
      </c>
      <c r="B39" s="11" t="s">
        <v>129</v>
      </c>
    </row>
    <row r="41">
      <c r="A41" s="7" t="s">
        <v>37</v>
      </c>
    </row>
    <row r="42">
      <c r="A42" s="7" t="s">
        <v>131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B1" s="12" t="s">
        <v>23</v>
      </c>
      <c r="C1" s="6"/>
      <c r="D1" s="6"/>
    </row>
    <row r="2">
      <c r="A2" s="14" t="s">
        <v>28</v>
      </c>
      <c r="B2" s="15" t="s">
        <v>31</v>
      </c>
      <c r="C2" s="14"/>
      <c r="D2" s="14"/>
    </row>
    <row r="3">
      <c r="A3" s="14" t="s">
        <v>33</v>
      </c>
      <c r="B3" s="15" t="s">
        <v>35</v>
      </c>
      <c r="C3" s="14"/>
      <c r="D3" s="14"/>
    </row>
    <row r="4">
      <c r="A4" s="14" t="s">
        <v>39</v>
      </c>
      <c r="B4" s="15" t="s">
        <v>40</v>
      </c>
      <c r="C4" s="14"/>
      <c r="D4" s="14"/>
    </row>
  </sheetData>
  <drawing r:id="rId1"/>
</worksheet>
</file>